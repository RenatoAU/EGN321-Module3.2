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d2f75d285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567256275d946f2"/>
    <x:sheet xmlns:r="http://schemas.openxmlformats.org/officeDocument/2006/relationships" name="Inventory" sheetId="2" r:id="R973aaf80d7e74301"/>
    <x:sheet xmlns:r="http://schemas.openxmlformats.org/officeDocument/2006/relationships" name="Reorder Logic" sheetId="3" r:id="R0cea2afe871340c7"/>
    <x:sheet xmlns:r="http://schemas.openxmlformats.org/officeDocument/2006/relationships" name="Known Questions" sheetId="4" r:id="R568b538a9827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4C6E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8361d05aa4009" /><Relationship Type="http://schemas.openxmlformats.org/officeDocument/2006/relationships/theme" Target="/xl/theme/theme1.xml" Id="R5741ddf0feac469c" /><Relationship Type="http://schemas.openxmlformats.org/officeDocument/2006/relationships/sharedStrings" Target="/xl/sharedStrings.xml" Id="R816322d950264db0" /><Relationship Type="http://schemas.openxmlformats.org/officeDocument/2006/relationships/worksheet" Target="/xl/worksheets/sheet1.xml" Id="Re567256275d946f2" /><Relationship Type="http://schemas.openxmlformats.org/officeDocument/2006/relationships/worksheet" Target="/xl/worksheets/sheet2.xml" Id="R973aaf80d7e74301" /><Relationship Type="http://schemas.openxmlformats.org/officeDocument/2006/relationships/worksheet" Target="/xl/worksheets/sheet3.xml" Id="R0cea2afe871340c7" /><Relationship Type="http://schemas.openxmlformats.org/officeDocument/2006/relationships/worksheet" Target="/xl/worksheets/sheet4.xml" Id="R568b538a98274b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5" t="str">
        <x:v>Example Capstone Candidate Workbook — Sanitized</x:v>
      </x:c>
      <x:c r="B1" s="5"/>
      <x:c r="C1" s="5"/>
      <x:c r="D1" s="5"/>
      <x:c r="E1" s="5"/>
      <x:c r="F1" s="5"/>
    </x:row>
    <x:row r="3">
      <x:c r="A3" s="12" t="str">
        <x:v>Purpose</x:v>
      </x:c>
      <x:c r="B3" s="13" t="str">
        <x:v>Demonstrate the kind of real spreadsheet suitable for Assignment 3.2.</x:v>
      </x:c>
    </x:row>
    <x:row r="4">
      <x:c r="A4" s="12" t="str">
        <x:v>Scenario</x:v>
      </x:c>
      <x:c r="B4" s="13" t="str">
        <x:v>Small family business uses this workbook to decide when inventory should be reordered.</x:v>
      </x:c>
    </x:row>
    <x:row r="5">
      <x:c r="A5" s="12" t="str">
        <x:v>Who depends on it</x:v>
      </x:c>
      <x:c r="B5" s="13" t="str">
        <x:v>Store manager and purchasing assistant.</x:v>
      </x:c>
    </x:row>
    <x:row r="6">
      <x:c r="A6" s="12" t="str">
        <x:v>Why it matters</x:v>
      </x:c>
      <x:c r="B6" s="13" t="str">
        <x:v>Incorrect reorder decisions can cause stockouts or excess inventory.</x:v>
      </x:c>
    </x:row>
    <x:row r="7">
      <x:c r="A7" s="12" t="str">
        <x:v>Potential concerns</x:v>
      </x:c>
      <x:c r="B7" s="13" t="str">
        <x:v>Hard-coded reorder threshold, one formula copied inconsistently, unclear unit assumptions.</x:v>
      </x:c>
    </x:row>
    <x:row r="8">
      <x:c r="A8" s="12" t="str">
        <x:v>Privacy</x:v>
      </x:c>
      <x:c r="B8" s="13" t="str">
        <x:v>All names and values are fictional. No real customer, employee, supplier, or account data is included.</x:v>
      </x:c>
    </x:row>
    <x:row r="9">
      <x:c r="A9" s="12" t="str">
        <x:v>Capstone potential</x:v>
      </x:c>
      <x:c r="B9" s="13" t="str">
        <x:v>Good candidate because the logic can later be rebuilt as tested Python, documented, and handed off.</x:v>
      </x:c>
    </x:row>
    <x:row r="10">
      <x:c r="A10" s="12" t="str">
        <x:v>Important</x:v>
      </x:c>
      <x:c r="B10" s="13" t="str">
        <x:v>Students must submit a sanitized or synthetic copy of any real workbook used for this assignment.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4" hidden="0" customWidth="1"/>
    <x:col min="5" max="5" width="18" hidden="0" customWidth="1"/>
    <x:col min="6" max="6" width="14" hidden="0" customWidth="1"/>
    <x:col min="7" max="7" width="10" hidden="0" customWidth="1"/>
  </x:cols>
  <x:sheetData>
    <x:row r="1">
      <x:c r="A1" s="5" t="str">
        <x:v>Inventory Data</x:v>
      </x:c>
      <x:c r="B1" s="5"/>
      <x:c r="C1" s="5"/>
      <x:c r="D1" s="5"/>
      <x:c r="E1" s="5"/>
      <x:c r="F1" s="5"/>
      <x:c r="G1" s="5"/>
    </x:row>
    <x:row r="3">
      <x:c r="A3" s="20" t="str">
        <x:v>SKU</x:v>
      </x:c>
      <x:c r="B3" s="20" t="str">
        <x:v>Item</x:v>
      </x:c>
      <x:c r="C3" s="20" t="str">
        <x:v>On Hand</x:v>
      </x:c>
      <x:c r="D3" s="20" t="str">
        <x:v>Weekly Use</x:v>
      </x:c>
      <x:c r="E3" s="20" t="str">
        <x:v>Lead Time (weeks)</x:v>
      </x:c>
      <x:c r="F3" s="20" t="str">
        <x:v>Safety Stock</x:v>
      </x:c>
      <x:c r="G3" s="20" t="str">
        <x:v>Unit</x:v>
      </x:c>
    </x:row>
    <x:row r="4">
      <x:c r="A4" t="str">
        <x:v>P-100</x:v>
      </x:c>
      <x:c r="B4" t="str">
        <x:v>Filter Cartridge</x:v>
      </x:c>
      <x:c r="C4" t="n">
        <x:v>38</x:v>
      </x:c>
      <x:c r="D4" t="n">
        <x:v>12</x:v>
      </x:c>
      <x:c r="E4" t="n">
        <x:v>2</x:v>
      </x:c>
      <x:c r="F4" t="n">
        <x:v>10</x:v>
      </x:c>
      <x:c r="G4" t="str">
        <x:v>each</x:v>
      </x:c>
    </x:row>
    <x:row r="5">
      <x:c r="A5" t="str">
        <x:v>P-110</x:v>
      </x:c>
      <x:c r="B5" t="str">
        <x:v>Seal Kit</x:v>
      </x:c>
      <x:c r="C5" t="n">
        <x:v>24</x:v>
      </x:c>
      <x:c r="D5" t="n">
        <x:v>8</x:v>
      </x:c>
      <x:c r="E5" t="n">
        <x:v>3</x:v>
      </x:c>
      <x:c r="F5" t="n">
        <x:v>6</x:v>
      </x:c>
      <x:c r="G5" t="str">
        <x:v>each</x:v>
      </x:c>
    </x:row>
    <x:row r="6">
      <x:c r="A6" t="str">
        <x:v>P-120</x:v>
      </x:c>
      <x:c r="B6" t="str">
        <x:v>Pressure Gauge</x:v>
      </x:c>
      <x:c r="C6" t="n">
        <x:v>9</x:v>
      </x:c>
      <x:c r="D6" t="n">
        <x:v>3</x:v>
      </x:c>
      <x:c r="E6" t="n">
        <x:v>4</x:v>
      </x:c>
      <x:c r="F6" t="n">
        <x:v>4</x:v>
      </x:c>
      <x:c r="G6" t="str">
        <x:v>each</x:v>
      </x:c>
    </x:row>
    <x:row r="7">
      <x:c r="A7" t="str">
        <x:v>P-130</x:v>
      </x:c>
      <x:c r="B7" t="str">
        <x:v>Flexible Hose</x:v>
      </x:c>
      <x:c r="C7" t="n">
        <x:v>22</x:v>
      </x:c>
      <x:c r="D7" t="n">
        <x:v>5</x:v>
      </x:c>
      <x:c r="E7" t="n">
        <x:v>2</x:v>
      </x:c>
      <x:c r="F7" t="n">
        <x:v>5</x:v>
      </x:c>
      <x:c r="G7" t="str">
        <x:v>each</x:v>
      </x:c>
    </x:row>
    <x:row r="8">
      <x:c r="A8" t="str">
        <x:v>P-140</x:v>
      </x:c>
      <x:c r="B8" t="str">
        <x:v>Valve Assembly</x:v>
      </x:c>
      <x:c r="C8" t="n">
        <x:v>7</x:v>
      </x:c>
      <x:c r="D8" t="n">
        <x:v>2</x:v>
      </x:c>
      <x:c r="E8" t="n">
        <x:v>5</x:v>
      </x:c>
      <x:c r="F8" t="n">
        <x:v>3</x:v>
      </x:c>
      <x:c r="G8" t="str">
        <x:v>each</x:v>
      </x:c>
    </x:row>
    <x:row r="9">
      <x:c r="A9" t="str">
        <x:v>P-150</x:v>
      </x:c>
      <x:c r="B9" t="str">
        <x:v>Clamp Set</x:v>
      </x:c>
      <x:c r="C9" t="n">
        <x:v>42</x:v>
      </x:c>
      <x:c r="D9" t="n">
        <x:v>10</x:v>
      </x:c>
      <x:c r="E9" t="n">
        <x:v>2</x:v>
      </x:c>
      <x:c r="F9" t="n">
        <x:v>8</x:v>
      </x:c>
      <x:c r="G9" t="str">
        <x:v>each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40" hidden="0" customWidth="1"/>
  </x:cols>
  <x:sheetData>
    <x:row r="1">
      <x:c r="A1" s="5" t="str">
        <x:v>Legacy Reorder Logic</x:v>
      </x:c>
      <x:c r="B1" s="5"/>
      <x:c r="C1" s="5"/>
      <x:c r="D1" s="5"/>
      <x:c r="E1" s="5"/>
      <x:c r="F1" s="5"/>
      <x:c r="G1" s="5"/>
    </x:row>
    <x:row r="3">
      <x:c r="A3" s="20" t="str">
        <x:v>SKU</x:v>
      </x:c>
      <x:c r="B3" s="20" t="str">
        <x:v>Demand During Lead Time</x:v>
      </x:c>
      <x:c r="C3" s="20" t="str">
        <x:v>Reorder Point</x:v>
      </x:c>
      <x:c r="D3" s="20" t="str">
        <x:v>On Hand</x:v>
      </x:c>
      <x:c r="E3" s="20" t="str">
        <x:v>Reorder?</x:v>
      </x:c>
      <x:c r="F3" s="20" t="str">
        <x:v>Order Qty</x:v>
      </x:c>
      <x:c r="G3" s="20" t="str">
        <x:v>Comment</x:v>
      </x:c>
    </x:row>
    <x:row r="4">
      <x:c r="A4" t="str">
        <x:f>Inventory!A4</x:f>
        <x:v>P-100</x:v>
      </x:c>
      <x:c r="B4" t="n">
        <x:f>Inventory!D4*Inventory!E4</x:f>
        <x:v>24</x:v>
      </x:c>
      <x:c r="C4" t="n">
        <x:f>B4+Inventory!F4</x:f>
        <x:v>34</x:v>
      </x:c>
      <x:c r="D4" t="n">
        <x:f>Inventory!C4</x:f>
        <x:v>38</x:v>
      </x:c>
      <x:c r="E4" t="str">
        <x:f>IF(D4&lt;=C4,"YES","NO")</x:f>
        <x:v>NO</x:v>
      </x:c>
      <x:c r="F4" t="n">
        <x:f>IF(E4="YES",C4*2-D4,0)</x:f>
        <x:v>0</x:v>
      </x:c>
      <x:c r="G4" t="str">
        <x:v>Review formula consistency and assumptions</x:v>
      </x:c>
    </x:row>
    <x:row r="5">
      <x:c r="A5" t="str">
        <x:f>Inventory!A5</x:f>
        <x:v>P-110</x:v>
      </x:c>
      <x:c r="B5" t="n">
        <x:f>Inventory!D5*Inventory!E5</x:f>
        <x:v>24</x:v>
      </x:c>
      <x:c r="C5" t="n">
        <x:f>B5+Inventory!F5</x:f>
        <x:v>30</x:v>
      </x:c>
      <x:c r="D5" t="n">
        <x:f>Inventory!C5</x:f>
        <x:v>24</x:v>
      </x:c>
      <x:c r="E5" t="str">
        <x:f>IF(D5&lt;=C5,"YES","NO")</x:f>
        <x:v>YES</x:v>
      </x:c>
      <x:c r="F5" t="n">
        <x:f>IF(E5="YES",C5*2-D5,0)</x:f>
        <x:v>36</x:v>
      </x:c>
      <x:c r="G5" t="str">
        <x:v>Review formula consistency and assumptions</x:v>
      </x:c>
    </x:row>
    <x:row r="6">
      <x:c r="A6" t="str">
        <x:f>Inventory!A6</x:f>
        <x:v>P-120</x:v>
      </x:c>
      <x:c r="B6" t="n">
        <x:f>Inventory!D6*Inventory!E6</x:f>
        <x:v>12</x:v>
      </x:c>
      <x:c r="C6" t="n">
        <x:f>B6+Inventory!F6</x:f>
        <x:v>16</x:v>
      </x:c>
      <x:c r="D6" t="n">
        <x:f>Inventory!C6</x:f>
        <x:v>9</x:v>
      </x:c>
      <x:c r="E6" t="str">
        <x:f>IF(D6&lt;=C6,"YES","NO")</x:f>
        <x:v>YES</x:v>
      </x:c>
      <x:c r="F6" t="n">
        <x:f>IF(E6="YES",C6*2-D6,0)</x:f>
        <x:v>23</x:v>
      </x:c>
      <x:c r="G6" t="str">
        <x:v>Review formula consistency and assumptions</x:v>
      </x:c>
    </x:row>
    <x:row r="7">
      <x:c r="A7" t="str">
        <x:f>Inventory!A7</x:f>
        <x:v>P-130</x:v>
      </x:c>
      <x:c r="B7" t="n">
        <x:f>Inventory!D7*Inventory!E7</x:f>
        <x:v>10</x:v>
      </x:c>
      <x:c r="C7" t="n">
        <x:f>B7+5</x:f>
        <x:v>15</x:v>
      </x:c>
      <x:c r="D7" t="n">
        <x:f>Inventory!C7</x:f>
        <x:v>22</x:v>
      </x:c>
      <x:c r="E7" t="str">
        <x:f>IF(D7&lt;=C7,"YES","NO")</x:f>
        <x:v>NO</x:v>
      </x:c>
      <x:c r="F7" t="n">
        <x:f>IF(E7="YES",C7*2-D7,0)</x:f>
        <x:v>0</x:v>
      </x:c>
      <x:c r="G7" t="str">
        <x:v>Review formula consistency and assumptions</x:v>
      </x:c>
    </x:row>
    <x:row r="8">
      <x:c r="A8" t="str">
        <x:f>Inventory!A8</x:f>
        <x:v>P-140</x:v>
      </x:c>
      <x:c r="B8" t="n">
        <x:f>Inventory!D8*Inventory!E8</x:f>
        <x:v>10</x:v>
      </x:c>
      <x:c r="C8" t="n">
        <x:f>B8+Inventory!F8</x:f>
        <x:v>13</x:v>
      </x:c>
      <x:c r="D8" t="n">
        <x:f>Inventory!C8</x:f>
        <x:v>7</x:v>
      </x:c>
      <x:c r="E8" t="str">
        <x:f>IF(D8&lt;=C8,"YES","NO")</x:f>
        <x:v>YES</x:v>
      </x:c>
      <x:c r="F8" t="n">
        <x:f>IF(E8="YES",C8*2-D8,0)</x:f>
        <x:v>19</x:v>
      </x:c>
      <x:c r="G8" t="str">
        <x:v>Review formula consistency and assumptions</x:v>
      </x:c>
    </x:row>
    <x:row r="9">
      <x:c r="A9" t="str">
        <x:f>Inventory!A9</x:f>
        <x:v>P-150</x:v>
      </x:c>
      <x:c r="B9" t="n">
        <x:f>Inventory!D9*Inventory!E9</x:f>
        <x:v>20</x:v>
      </x:c>
      <x:c r="C9" t="n">
        <x:f>B9+Inventory!F9</x:f>
        <x:v>28</x:v>
      </x:c>
      <x:c r="D9" t="n">
        <x:f>Inventory!C9</x:f>
        <x:v>42</x:v>
      </x:c>
      <x:c r="E9" t="str">
        <x:f>IF(D9&lt;=C9,"YES","NO")</x:f>
        <x:v>NO</x:v>
      </x:c>
      <x:c r="F9" t="n">
        <x:f>IF(E9="YES",C9*2-D9,0)</x:f>
        <x:v>0</x:v>
      </x:c>
      <x:c r="G9" t="str">
        <x:v>Review formula consistency and assumptions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4" hidden="0" customWidth="1"/>
    <x:col min="3" max="3" width="16" hidden="0" customWidth="1"/>
    <x:col min="4" max="4" width="30" hidden="0" customWidth="1"/>
  </x:cols>
  <x:sheetData>
    <x:row r="1">
      <x:c r="A1" s="5" t="str">
        <x:v>Questions an Engineer Should Ask</x:v>
      </x:c>
      <x:c r="B1" s="5"/>
      <x:c r="C1" s="5"/>
      <x:c r="D1" s="5"/>
    </x:row>
    <x:row r="3">
      <x:c r="A3" s="20" t="str">
        <x:v>Question</x:v>
      </x:c>
      <x:c r="B3" s="20" t="str">
        <x:v>Why It Matters</x:v>
      </x:c>
      <x:c r="C3" s="20" t="str">
        <x:v>Known Answer?</x:v>
      </x:c>
      <x:c r="D3" s="20" t="str">
        <x:v>Capstone Follow-up</x:v>
      </x:c>
    </x:row>
    <x:row r="4">
      <x:c r="A4" t="str">
        <x:v>Where did the safety-stock values come from?</x:v>
      </x:c>
      <x:c r="B4" t="str">
        <x:v>May be business policy rather than engineering logic.</x:v>
      </x:c>
      <x:c r="C4" t="str">
        <x:v>Unknown</x:v>
      </x:c>
      <x:c r="D4" t="str">
        <x:v>Document source/assumption</x:v>
      </x:c>
    </x:row>
    <x:row r="5">
      <x:c r="A5" t="str">
        <x:v>Are all lead times in weeks?</x:v>
      </x:c>
      <x:c r="B5" t="str">
        <x:v>Unit mismatch would corrupt reorder point.</x:v>
      </x:c>
      <x:c r="C5" t="str">
        <x:v>Mostly</x:v>
      </x:c>
      <x:c r="D5" t="str">
        <x:v>Verify every row</x:v>
      </x:c>
    </x:row>
    <x:row r="6">
      <x:c r="A6" t="str">
        <x:v>Why is one reorder formula different?</x:v>
      </x:c>
      <x:c r="B6" t="str">
        <x:v>Could be intentional or accidental.</x:v>
      </x:c>
      <x:c r="C6" t="str">
        <x:v>Unknown</x:v>
      </x:c>
      <x:c r="D6" t="str">
        <x:v>Investigate</x:v>
      </x:c>
    </x:row>
    <x:row r="7">
      <x:c r="A7" t="str">
        <x:v>Can reorder quantity be negative?</x:v>
      </x:c>
      <x:c r="B7" t="str">
        <x:v>Tool should refuse or clamp unsupported states.</x:v>
      </x:c>
      <x:c r="C7" t="str">
        <x:v>No</x:v>
      </x:c>
      <x:c r="D7" t="str">
        <x:v>Add validation</x:v>
      </x:c>
    </x:row>
    <x:row r="8">
      <x:c r="A8" t="str">
        <x:v>Who updates weekly use?</x:v>
      </x:c>
      <x:c r="B8" t="str">
        <x:v>Stale inputs affect decisions.</x:v>
      </x:c>
      <x:c r="C8" t="str">
        <x:v>Known</x:v>
      </x:c>
      <x:c r="D8" t="str">
        <x:v>Document owner</x:v>
      </x:c>
    </x:row>
    <x:row r="9">
      <x:c r="A9" t="str">
        <x:v>What happens when a new SKU is added?</x:v>
      </x:c>
      <x:c r="B9" t="str">
        <x:v>Copied formulas may not extend correctly.</x:v>
      </x:c>
      <x:c r="C9" t="str">
        <x:v>Unknown</x:v>
      </x:c>
      <x:c r="D9" t="str">
        <x:v>Test maintainability</x:v>
      </x:c>
    </x:row>
  </x:sheetData>
  <x:mergeCells>
    <x:mergeCell ref="A1:D1"/>
  </x:mergeCells>
  <x:pageMargins left="0.7" right="0.7" top="0.75" bottom="0.75" header="0.3" footer="0.3"/>
</x:worksheet>
</file>